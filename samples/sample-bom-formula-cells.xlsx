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级次</v>
      </c>
      <c r="B1" t="str">
        <v>物料代码</v>
      </c>
      <c r="C1" t="str">
        <v>物料名称</v>
      </c>
      <c r="D1" t="str">
        <v>规格</v>
      </c>
      <c r="E1" t="str">
        <v>标准用量</v>
      </c>
      <c r="F1" t="str">
        <v>备注</v>
      </c>
    </row>
    <row r="2">
      <c r="A2">
        <v>0</v>
      </c>
      <c r="B2" t="str">
        <v>HL0230002C</v>
      </c>
      <c r="C2" t="str">
        <v>轿厢总成</v>
      </c>
      <c r="D2" t="str">
        <v>A型</v>
      </c>
      <c r="E2">
        <v>1</v>
      </c>
      <c r="F2" t="str">
        <v/>
      </c>
    </row>
    <row r="3">
      <c r="A3">
        <v>1</v>
      </c>
      <c r="B3" t="str">
        <v>P001</v>
      </c>
      <c r="C3" t="str">
        <v>侧板</v>
      </c>
      <c r="D3" t="str">
        <v/>
      </c>
      <c r="E3">
        <v>1</v>
      </c>
      <c r="F3">
        <f>IF(LHLB="LF18",2,1)</f>
        <v>2</v>
      </c>
    </row>
    <row r="4">
      <c r="A4">
        <v>1</v>
      </c>
      <c r="B4" t="str">
        <v>P002</v>
      </c>
      <c r="C4" t="str">
        <v>地板</v>
      </c>
      <c r="D4" t="str">
        <v/>
      </c>
      <c r="E4">
        <v>1</v>
      </c>
      <c r="F4">
        <f>ROUNDUP(N1*(DD-54)/250,0)</f>
        <v>1</v>
      </c>
    </row>
    <row r="5">
      <c r="A5">
        <v>1</v>
      </c>
      <c r="B5" t="str">
        <v>P003</v>
      </c>
      <c r="C5" t="str">
        <v>加强件</v>
      </c>
      <c r="D5" t="str">
        <v/>
      </c>
      <c r="E5">
        <v>0</v>
      </c>
      <c r="F5" t="str">
        <v>DD-54≤1000时：N1；DD-54＞1600时：N1-1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